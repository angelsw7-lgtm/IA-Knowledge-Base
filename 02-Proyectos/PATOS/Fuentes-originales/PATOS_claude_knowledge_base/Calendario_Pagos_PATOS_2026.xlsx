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 2026" sheetId="2" state="visible" r:id="rId4"/>
    <sheet name="Enero 2026" sheetId="3" state="visible" r:id="rId5"/>
    <sheet name="Febrero 2026" sheetId="4" state="visible" r:id="rId6"/>
    <sheet name="Marzo 2026" sheetId="5" state="visible" r:id="rId7"/>
    <sheet name="Abril 2026" sheetId="6" state="visible" r:id="rId8"/>
    <sheet name="Mayo 2026" sheetId="7" state="visible" r:id="rId9"/>
    <sheet name="Junio 2026" sheetId="8" state="visible" r:id="rId10"/>
    <sheet name="Julio 2026" sheetId="9" state="visible" r:id="rId11"/>
    <sheet name="Agosto 2026" sheetId="10" state="visible" r:id="rId12"/>
    <sheet name="Septiembre 2026" sheetId="11" state="visible" r:id="rId13"/>
    <sheet name="Octubre 2026" sheetId="12" state="visible" r:id="rId14"/>
    <sheet name="Noviembre 2026" sheetId="13" state="visible" r:id="rId15"/>
    <sheet name="Diciembre 2026" sheetId="14" state="visible" r:id="rId16"/>
  </sheets>
  <definedNames>
    <definedName function="false" hidden="false" localSheetId="5" name="_xlnm.Print_Area" vbProcedure="false">'Abril 2026'!$A$1:$L$49</definedName>
    <definedName function="false" hidden="false" localSheetId="9" name="_xlnm.Print_Area" vbProcedure="false">'Agosto 2026'!$A$1:$L$49</definedName>
    <definedName function="false" hidden="false" localSheetId="13" name="_xlnm.Print_Area" vbProcedure="false">'Diciembre 2026'!$A$1:$L$49</definedName>
    <definedName function="false" hidden="false" localSheetId="2" name="_xlnm.Print_Area" vbProcedure="false">'Enero 2026'!$A$1:$L$49</definedName>
    <definedName function="false" hidden="false" localSheetId="3" name="_xlnm.Print_Area" vbProcedure="false">'Febrero 2026'!$A$1:$L$49</definedName>
    <definedName function="false" hidden="false" localSheetId="0" name="_xlnm.Print_Area" vbProcedure="false">Instrucciones!$A$1:$H$35</definedName>
    <definedName function="false" hidden="false" localSheetId="8" name="_xlnm.Print_Area" vbProcedure="false">'Julio 2026'!$A$1:$L$49</definedName>
    <definedName function="false" hidden="false" localSheetId="7" name="_xlnm.Print_Area" vbProcedure="false">'Junio 2026'!$A$1:$L$49</definedName>
    <definedName function="false" hidden="false" localSheetId="4" name="_xlnm.Print_Area" vbProcedure="false">'Marzo 2026'!$A$1:$L$49</definedName>
    <definedName function="false" hidden="false" localSheetId="6" name="_xlnm.Print_Area" vbProcedure="false">'Mayo 2026'!$A$1:$L$49</definedName>
    <definedName function="false" hidden="false" localSheetId="12" name="_xlnm.Print_Area" vbProcedure="false">'Noviembre 2026'!$A$1:$L$49</definedName>
    <definedName function="false" hidden="false" localSheetId="11" name="_xlnm.Print_Area" vbProcedure="false">'Octubre 2026'!$A$1:$L$49</definedName>
    <definedName function="false" hidden="false" localSheetId="1" name="_xlnm.Print_Area" vbProcedure="false">'Resumen 2026'!$A$1:$H$42</definedName>
    <definedName function="false" hidden="false" localSheetId="10" name="_xlnm.Print_Area" vbProcedure="false">'Septiembre 2026'!$A$1:$L$49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<sst xmlns="http://schemas.openxmlformats.org/spreadsheetml/2006/main" count="346" uniqueCount="77">
  <si>
    <t xml:space="preserve">PATOS — Calendario de Pagos 2026</t>
  </si>
  <si>
    <t xml:space="preserve">Herramienta de administración para el seguimiento visual de pagos</t>
  </si>
  <si>
    <t xml:space="preserve">¿Cómo funciona?</t>
  </si>
  <si>
    <t xml:space="preserve">Cada mes tiene su propia hoja (Enero 2026 … Diciembre 2026). En cada hoja hay dos zonas:</t>
  </si>
  <si>
    <t xml:space="preserve">  1. A la izquierda: el CALENDARIO del mes (solo lectura, se colorea solo).</t>
  </si>
  <si>
    <t xml:space="preserve">  2. A la derecha: la LISTA DE PAGOS, que es la única zona que debes rellenar.</t>
  </si>
  <si>
    <t xml:space="preserve">Rellenar la lista</t>
  </si>
  <si>
    <t xml:space="preserve">En cada fila de la lista, introduce: Fecha del pago, Concepto y Importe (€).</t>
  </si>
  <si>
    <t xml:space="preserve">En la columna Estado, elige de la lista desplegable: “Pendiente” o “Pagado”.</t>
  </si>
  <si>
    <t xml:space="preserve">La fila de ejemplo (en gris, marcada EJEMPLO) muestra el formato esperado — sustitúyela o bórrala.</t>
  </si>
  <si>
    <t xml:space="preserve">Colores del calendario (automáticos, no hay que tocarlos)</t>
  </si>
  <si>
    <t xml:space="preserve">El día se colorea según el estado de los pagos registrados en la lista para esa fecha:</t>
  </si>
  <si>
    <t xml:space="preserve">  • Verde → todos los pagos de ese día están en estado Pagado.</t>
  </si>
  <si>
    <t xml:space="preserve">  • Ámbar → hay al menos un pago Pendiente con fecha futura (o de hoy).</t>
  </si>
  <si>
    <t xml:space="preserve">  • Rojo → hay al menos un pago Pendiente cuya fecha ya ha pasado (VENCIDO).</t>
  </si>
  <si>
    <t xml:space="preserve">El estado “Vencido” se calcula solo comparando la fecha con el día de hoy — no se marca a mano.</t>
  </si>
  <si>
    <t xml:space="preserve">Resumen anual</t>
  </si>
  <si>
    <t xml:space="preserve">La hoja “Resumen 2026” agrega automáticamente los totales de las 12 hojas mensuales y muestra</t>
  </si>
  <si>
    <t xml:space="preserve">un gráfico comparativo de pagado / pendiente / vencido por mes.</t>
  </si>
  <si>
    <t xml:space="preserve">Notas</t>
  </si>
  <si>
    <t xml:space="preserve">No modifiques el calendario ni las fórmulas: se recalculan solas a partir de la lista.</t>
  </si>
  <si>
    <t xml:space="preserve">Puedes añadir más filas a la lista si un mes tiene más de 40 pagos (copia el formato de una fila existente).</t>
  </si>
  <si>
    <t xml:space="preserve">Leyenda de colores</t>
  </si>
  <si>
    <t xml:space="preserve">Pagado</t>
  </si>
  <si>
    <t xml:space="preserve">Pendiente</t>
  </si>
  <si>
    <t xml:space="preserve">Vencido</t>
  </si>
  <si>
    <t xml:space="preserve">RESUMEN ANUAL DE PAGOS — 2026</t>
  </si>
  <si>
    <t xml:space="preserve">Mes</t>
  </si>
  <si>
    <t xml:space="preserve">Nº de pagos</t>
  </si>
  <si>
    <t xml:space="preserve">Pagado (€)</t>
  </si>
  <si>
    <t xml:space="preserve">Pendiente (€)</t>
  </si>
  <si>
    <t xml:space="preserve">Vencido (€)</t>
  </si>
  <si>
    <t xml:space="preserve">Total (€)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</si>
  <si>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</si>
  <si>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</si>
  <si>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</si>
  <si>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</si>
  <si>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</si>
  <si>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</si>
  <si>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</si>
  <si>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</si>
  <si>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</si>
  <si>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</si>
  <si>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</si>
  <si>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</si>
  <si>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</si>
  <si>
    <t xml:space="preserve">ENERO 2026</t>
  </si>
  <si>
    <t xml:space="preserve">LISTA DE PAGOS — rellenar aquí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</si>
  <si>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</si>
  <si>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</si>
  <si>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</si>
  <si>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</si>
  <si>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</si>
  <si>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</si>
  <si>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</si>
  <si>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Fecha</t>
  </si>
  <si>
    <t xml:space="preserve">Concepto</t>
  </si>
  <si>
    <t xml:space="preserve">Importe (€)</t>
  </si>
  <si>
    <t xml:space="preserve">Estado</t>
  </si>
  <si>
    <t xml:space="preserve">EJEMPLO — Alquiler oficina</t>
  </si>
  <si>
    <t xml:space="preserve">Leyenda</t>
  </si>
  <si>
    <t xml:space="preserve">TOTALES</t>
  </si>
  <si>
    <t xml:space="preserve">Total pagado (€)</t>
  </si>
  <si>
    <t xml:space="preserve">Total pendiente (€)</t>
  </si>
  <si>
    <t xml:space="preserve">Total vencido (€)</t>
  </si>
  <si>
    <t xml:space="preserve">TOTAL GENERAL (€)</t>
  </si>
  <si>
    <t xml:space="preserve">FEBRERO 2026</t>
  </si>
  <si>
    <t xml:space="preserve">MARZO 2026</t>
  </si>
  <si>
    <t xml:space="preserve">ABRIL 2026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</si>
  <si>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</si>
  <si>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</si>
  <si>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</si>
  <si>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</si>
  <si>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</si>
  <si>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OCTUBRE 2026</t>
  </si>
  <si>
    <t xml:space="preserve">NOVIEMBRE 2026</t>
  </si>
  <si>
    <t xml:space="preserve">DICIEMBRE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</si>
</sst>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&quot; €&quot;"/>
    <numFmt numFmtId="167" formatCode="dd/mm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0.5"/>
      <color rgb="FF006100"/>
      <name val="Arial"/>
      <family val="0"/>
      <charset val="1"/>
    </font>
    <font>
      <b val="true"/>
      <sz val="10.5"/>
      <color rgb="FF9C6500"/>
      <name val="Arial"/>
      <family val="0"/>
      <charset val="1"/>
    </font>
    <font>
      <b val="true"/>
      <sz val="10.5"/>
      <color rgb="FF9C0006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.5"/>
      <color rgb="FF37415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E5E7EB"/>
      </patternFill>
    </fill>
    <fill>
      <patternFill patternType="solid">
        <fgColor rgb="FFFFC7CE"/>
        <bgColor rgb="FFD9D9D9"/>
      </patternFill>
    </fill>
    <fill>
      <patternFill patternType="solid">
        <fgColor rgb="FF374151"/>
        <bgColor rgb="FF333333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9F9F9"/>
      </patternFill>
    </fill>
    <fill>
      <patternFill patternType="solid">
        <fgColor rgb="FF1F2937"/>
        <bgColor rgb="FF333333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9F9F9"/>
      </patternFill>
    </fill>
    <fill>
      <patternFill patternType="solid">
        <fgColor rgb="FFB08D57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D1D5D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9F9F9"/>
      <rgbColor rgb="FFF3F4F6"/>
      <rgbColor rgb="FF660066"/>
      <rgbColor rgb="FFB08D57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FCE"/>
      <rgbColor rgb="FFFFEB9C"/>
      <rgbColor rgb="FFF9FAFB"/>
      <rgbColor rgb="FFFF99CC"/>
      <rgbColor rgb="FFCC99FF"/>
      <rgbColor rgb="FFFFC7CE"/>
      <rgbColor rgb="FF3366FF"/>
      <rgbColor rgb="FF33CCCC"/>
      <rgbColor rgb="FF99CC00"/>
      <rgbColor rgb="FFFFCC00"/>
      <rgbColor rgb="FFD9A400"/>
      <rgbColor rgb="FFFF6600"/>
      <rgbColor rgb="FF6B7280"/>
      <rgbColor rgb="FF878787"/>
      <rgbColor rgb="FF003366"/>
      <rgbColor rgb="FF339966"/>
      <rgbColor rgb="FF111827"/>
      <rgbColor rgb="FF1F2937"/>
      <rgbColor rgb="FF993300"/>
      <rgbColor rgb="FF993366"/>
      <rgbColor rgb="FF3741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Pagado vs. Pendiente vs. Vencido por mes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2026'!D4</c:f>
              <c:strCache>
                <c:ptCount val="1"/>
                <c:pt idx="0">
                  <c:v>Pagado (€)</c:v>
                </c:pt>
              </c:strCache>
            </c:strRef>
          </c:tx>
          <c:spPr>
            <a:solidFill>
              <a:srgbClr val="006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2026'!$B$5:$B$16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2026'!$D$5:$D$16</c:f>
              <c:numCache>
                <c:formatCode>#,##0.00" €"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'Resumen 2026'!E4</c:f>
              <c:strCache>
                <c:ptCount val="1"/>
                <c:pt idx="0">
                  <c:v>Pendiente (€)</c:v>
                </c:pt>
              </c:strCache>
            </c:strRef>
          </c:tx>
          <c:spPr>
            <a:solidFill>
              <a:srgbClr val="d9a4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2026'!$B$5:$B$16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2026'!$E$5:$E$16</c:f>
              <c:numCache>
                <c:formatCode>#,##0.00" €"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850</c:v>
                </c:pt>
                <c:pt idx="10">
                  <c:v>850</c:v>
                </c:pt>
                <c:pt idx="11">
                  <c:v>850</c:v>
                </c:pt>
              </c:numCache>
            </c:numRef>
          </c:val>
        </c:ser>
        <c:ser>
          <c:idx val="2"/>
          <c:order val="2"/>
          <c:tx>
            <c:strRef>
              <c:f>'Resumen 2026'!F4</c:f>
              <c:strCache>
                <c:ptCount val="1"/>
                <c:pt idx="0">
                  <c:v>Vencido (€)</c:v>
                </c:pt>
              </c:strCache>
            </c:strRef>
          </c:tx>
          <c:spPr>
            <a:solidFill>
              <a:srgbClr val="9c00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2026'!$B$5:$B$16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2026'!$F$5:$F$16</c:f>
              <c:numCache>
                <c:formatCode>#,##0.00" €"</c:formatCode>
                <c:ptCount val="12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5729018"/>
        <c:axId val="16792030"/>
      </c:barChart>
      <c:catAx>
        <c:axId val="85729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92030"/>
        <c:crosses val="autoZero"/>
        <c:auto val="1"/>
        <c:lblAlgn val="ctr"/>
        <c:lblOffset val="100"/>
        <c:noMultiLvlLbl val="0"/>
      </c:catAx>
      <c:valAx>
        <c:axId val="16792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Importe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90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11</xdr:col>
      <xdr:colOff>179280</xdr:colOff>
      <xdr:row>36</xdr:row>
      <xdr:rowOff>1080</xdr:rowOff>
    </xdr:to>
    <xdr:graphicFrame>
      <xdr:nvGraphicFramePr>
        <xdr:cNvPr id="0" name="Chart 1"/>
        <xdr:cNvGraphicFramePr/>
      </xdr:nvGraphicFramePr>
      <xdr:xfrm>
        <a:off x="211320" y="39625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  <col collapsed="false" customWidth="true" hidden="false" outlineLevel="0" max="8" min="8" style="0" width="3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15" hidden="false" customHeight="true" outlineLevel="0" collapsed="false">
      <c r="B7" s="4" t="s">
        <v>4</v>
      </c>
      <c r="C7" s="4"/>
      <c r="D7" s="4"/>
      <c r="E7" s="4"/>
      <c r="F7" s="4"/>
      <c r="G7" s="4"/>
    </row>
    <row r="8" customFormat="false" ht="15" hidden="false" customHeight="true" outlineLevel="0" collapsed="false">
      <c r="B8" s="4" t="s">
        <v>5</v>
      </c>
      <c r="C8" s="4"/>
      <c r="D8" s="4"/>
      <c r="E8" s="4"/>
      <c r="F8" s="4"/>
      <c r="G8" s="4"/>
    </row>
    <row r="9" customFormat="false" ht="6" hidden="false" customHeight="true" outlineLevel="0" collapsed="false">
      <c r="B9" s="4"/>
      <c r="C9" s="4"/>
      <c r="D9" s="4"/>
      <c r="E9" s="4"/>
      <c r="F9" s="4"/>
      <c r="G9" s="4"/>
    </row>
    <row r="10" customFormat="false" ht="15" hidden="false" customHeight="true" outlineLevel="0" collapsed="false">
      <c r="B10" s="3" t="s">
        <v>6</v>
      </c>
      <c r="C10" s="3"/>
      <c r="D10" s="3"/>
      <c r="E10" s="3"/>
      <c r="F10" s="3"/>
      <c r="G10" s="3"/>
    </row>
    <row r="11" customFormat="false" ht="15" hidden="false" customHeight="true" outlineLevel="0" collapsed="false">
      <c r="B11" s="4" t="s">
        <v>7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B12" s="4" t="s">
        <v>8</v>
      </c>
      <c r="C12" s="4"/>
      <c r="D12" s="4"/>
      <c r="E12" s="4"/>
      <c r="F12" s="4"/>
      <c r="G12" s="4"/>
    </row>
    <row r="13" customFormat="false" ht="15" hidden="false" customHeight="true" outlineLevel="0" collapsed="false">
      <c r="B13" s="4" t="s">
        <v>9</v>
      </c>
      <c r="C13" s="4"/>
      <c r="D13" s="4"/>
      <c r="E13" s="4"/>
      <c r="F13" s="4"/>
      <c r="G13" s="4"/>
    </row>
    <row r="14" customFormat="false" ht="6" hidden="false" customHeight="true" outlineLevel="0" collapsed="false">
      <c r="B14" s="4"/>
      <c r="C14" s="4"/>
      <c r="D14" s="4"/>
      <c r="E14" s="4"/>
      <c r="F14" s="4"/>
      <c r="G14" s="4"/>
    </row>
    <row r="15" customFormat="false" ht="15" hidden="false" customHeight="true" outlineLevel="0" collapsed="false">
      <c r="B15" s="3" t="s">
        <v>10</v>
      </c>
      <c r="C15" s="3"/>
      <c r="D15" s="3"/>
      <c r="E15" s="3"/>
      <c r="F15" s="3"/>
      <c r="G15" s="3"/>
    </row>
    <row r="16" customFormat="false" ht="15" hidden="false" customHeight="true" outlineLevel="0" collapsed="false">
      <c r="B16" s="4" t="s">
        <v>11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4" t="s">
        <v>12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4" t="s">
        <v>13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4" t="s">
        <v>14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4" t="s">
        <v>15</v>
      </c>
      <c r="C20" s="4"/>
      <c r="D20" s="4"/>
      <c r="E20" s="4"/>
      <c r="F20" s="4"/>
      <c r="G20" s="4"/>
    </row>
    <row r="21" customFormat="false" ht="6" hidden="false" customHeight="true" outlineLevel="0" collapsed="false"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B22" s="3" t="s">
        <v>16</v>
      </c>
      <c r="C22" s="3"/>
      <c r="D22" s="3"/>
      <c r="E22" s="3"/>
      <c r="F22" s="3"/>
      <c r="G22" s="3"/>
    </row>
    <row r="23" customFormat="false" ht="15" hidden="false" customHeight="true" outlineLevel="0" collapsed="false">
      <c r="B23" s="4" t="s">
        <v>17</v>
      </c>
      <c r="C23" s="4"/>
      <c r="D23" s="4"/>
      <c r="E23" s="4"/>
      <c r="F23" s="4"/>
      <c r="G23" s="4"/>
    </row>
    <row r="24" customFormat="false" ht="15" hidden="false" customHeight="true" outlineLevel="0" collapsed="false">
      <c r="B24" s="4" t="s">
        <v>18</v>
      </c>
      <c r="C24" s="4"/>
      <c r="D24" s="4"/>
      <c r="E24" s="4"/>
      <c r="F24" s="4"/>
      <c r="G24" s="4"/>
    </row>
    <row r="25" customFormat="false" ht="6" hidden="false" customHeight="true" outlineLevel="0" collapsed="false">
      <c r="B25" s="4"/>
      <c r="C25" s="4"/>
      <c r="D25" s="4"/>
      <c r="E25" s="4"/>
      <c r="F25" s="4"/>
      <c r="G25" s="4"/>
    </row>
    <row r="26" customFormat="false" ht="15" hidden="false" customHeight="true" outlineLevel="0" collapsed="false">
      <c r="B26" s="3" t="s">
        <v>19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4" t="s">
        <v>20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4" t="s">
        <v>21</v>
      </c>
      <c r="C28" s="4"/>
      <c r="D28" s="4"/>
      <c r="E28" s="4"/>
      <c r="F28" s="4"/>
      <c r="G28" s="4"/>
    </row>
    <row r="30" customFormat="false" ht="15" hidden="false" customHeight="false" outlineLevel="0" collapsed="false">
      <c r="B30" s="5" t="s">
        <v>22</v>
      </c>
      <c r="C30" s="5"/>
      <c r="D30" s="5"/>
      <c r="E30" s="5"/>
      <c r="F30" s="5"/>
      <c r="G30" s="5"/>
    </row>
    <row r="31" customFormat="false" ht="15.75" hidden="false" customHeight="true" outlineLevel="0" collapsed="false">
      <c r="B31" s="6"/>
      <c r="C31" s="7" t="s">
        <v>23</v>
      </c>
      <c r="D31" s="7"/>
    </row>
    <row r="32" customFormat="false" ht="15.75" hidden="false" customHeight="true" outlineLevel="0" collapsed="false">
      <c r="B32" s="8"/>
      <c r="C32" s="9" t="s">
        <v>24</v>
      </c>
      <c r="D32" s="9"/>
    </row>
    <row r="33" customFormat="false" ht="15.75" hidden="false" customHeight="true" outlineLevel="0" collapsed="false">
      <c r="B33" s="10"/>
      <c r="C33" s="11" t="s">
        <v>25</v>
      </c>
      <c r="D33" s="11"/>
    </row>
  </sheetData>
  <mergeCells count="30">
    <mergeCell ref="B2:G2"/>
    <mergeCell ref="B3:G3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30:G30"/>
    <mergeCell ref="C31:D31"/>
    <mergeCell ref="C32:D32"/>
    <mergeCell ref="C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7" min="3" style="0" width="15"/>
    <col collapsed="false" customWidth="true" hidden="false" outlineLevel="0" max="8" min="8" style="0" width="3"/>
  </cols>
  <sheetData>
    <row r="2" customFormat="false" ht="25.5" hidden="false" customHeight="true" outlineLevel="0" collapsed="false">
      <c r="B2" s="12" t="s">
        <v>26</v>
      </c>
      <c r="C2" s="12"/>
      <c r="D2" s="12"/>
      <c r="E2" s="12"/>
      <c r="F2" s="12"/>
      <c r="G2" s="12"/>
    </row>
    <row r="4" customFormat="false" ht="19.5" hidden="false" customHeight="true" outlineLevel="0" collapsed="false"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</row>
    <row r="5" customFormat="false" ht="15.75" hidden="false" customHeight="true" outlineLevel="0" collapsed="false">
      <c r="B5" s="14" t="s">
        <v>33</v>
      </c>
      <c r="C5" s="15" t="n">
        <f aca="false">'Enero 2026'!K45</f>
        <v>1</v>
      </c>
      <c r="D5" s="16" t="n">
        <f aca="false">'Enero 2026'!K46</f>
        <v>0</v>
      </c>
      <c r="E5" s="16" t="n">
        <f aca="false">'Enero 2026'!K47</f>
        <v>0</v>
      </c>
      <c r="F5" s="16" t="n">
        <f aca="false">'Enero 2026'!K48</f>
        <v>850</v>
      </c>
      <c r="G5" s="16" t="n">
        <f aca="false">'Enero 2026'!K49</f>
        <v>850</v>
      </c>
    </row>
    <row r="6" customFormat="false" ht="15.75" hidden="false" customHeight="true" outlineLevel="0" collapsed="false">
      <c r="B6" s="17" t="s">
        <v>34</v>
      </c>
      <c r="C6" s="18" t="n">
        <f aca="false">'Febrero 2026'!K45</f>
        <v>1</v>
      </c>
      <c r="D6" s="19" t="n">
        <f aca="false">'Febrero 2026'!K46</f>
        <v>0</v>
      </c>
      <c r="E6" s="19" t="n">
        <f aca="false">'Febrero 2026'!K47</f>
        <v>0</v>
      </c>
      <c r="F6" s="19" t="n">
        <f aca="false">'Febrero 2026'!K48</f>
        <v>850</v>
      </c>
      <c r="G6" s="19" t="n">
        <f aca="false">'Febrero 2026'!K49</f>
        <v>850</v>
      </c>
    </row>
    <row r="7" customFormat="false" ht="15.75" hidden="false" customHeight="true" outlineLevel="0" collapsed="false">
      <c r="B7" s="14" t="s">
        <v>35</v>
      </c>
      <c r="C7" s="15" t="n">
        <f aca="false">'Marzo 2026'!K45</f>
        <v>1</v>
      </c>
      <c r="D7" s="16" t="n">
        <f aca="false">'Marzo 2026'!K46</f>
        <v>0</v>
      </c>
      <c r="E7" s="16" t="n">
        <f aca="false">'Marzo 2026'!K47</f>
        <v>0</v>
      </c>
      <c r="F7" s="16" t="n">
        <f aca="false">'Marzo 2026'!K48</f>
        <v>850</v>
      </c>
      <c r="G7" s="16" t="n">
        <f aca="false">'Marzo 2026'!K49</f>
        <v>850</v>
      </c>
    </row>
    <row r="8" customFormat="false" ht="15.75" hidden="false" customHeight="true" outlineLevel="0" collapsed="false">
      <c r="B8" s="17" t="s">
        <v>36</v>
      </c>
      <c r="C8" s="18" t="n">
        <f aca="false">'Abril 2026'!K45</f>
        <v>1</v>
      </c>
      <c r="D8" s="19" t="n">
        <f aca="false">'Abril 2026'!K46</f>
        <v>0</v>
      </c>
      <c r="E8" s="19" t="n">
        <f aca="false">'Abril 2026'!K47</f>
        <v>0</v>
      </c>
      <c r="F8" s="19" t="n">
        <f aca="false">'Abril 2026'!K48</f>
        <v>850</v>
      </c>
      <c r="G8" s="19" t="n">
        <f aca="false">'Abril 2026'!K49</f>
        <v>850</v>
      </c>
    </row>
    <row r="9" customFormat="false" ht="15.75" hidden="false" customHeight="true" outlineLevel="0" collapsed="false">
      <c r="B9" s="14" t="s">
        <v>37</v>
      </c>
      <c r="C9" s="15" t="n">
        <f aca="false">'Mayo 2026'!K45</f>
        <v>1</v>
      </c>
      <c r="D9" s="16" t="n">
        <f aca="false">'Mayo 2026'!K46</f>
        <v>0</v>
      </c>
      <c r="E9" s="16" t="n">
        <f aca="false">'Mayo 2026'!K47</f>
        <v>0</v>
      </c>
      <c r="F9" s="16" t="n">
        <f aca="false">'Mayo 2026'!K48</f>
        <v>850</v>
      </c>
      <c r="G9" s="16" t="n">
        <f aca="false">'Mayo 2026'!K49</f>
        <v>850</v>
      </c>
    </row>
    <row r="10" customFormat="false" ht="15.75" hidden="false" customHeight="true" outlineLevel="0" collapsed="false">
      <c r="B10" s="17" t="s">
        <v>38</v>
      </c>
      <c r="C10" s="18" t="n">
        <f aca="false">'Junio 2026'!K45</f>
        <v>1</v>
      </c>
      <c r="D10" s="19" t="n">
        <f aca="false">'Junio 2026'!K46</f>
        <v>0</v>
      </c>
      <c r="E10" s="19" t="n">
        <f aca="false">'Junio 2026'!K47</f>
        <v>0</v>
      </c>
      <c r="F10" s="19" t="n">
        <f aca="false">'Junio 2026'!K48</f>
        <v>850</v>
      </c>
      <c r="G10" s="19" t="n">
        <f aca="false">'Junio 2026'!K49</f>
        <v>850</v>
      </c>
    </row>
    <row r="11" customFormat="false" ht="15.75" hidden="false" customHeight="true" outlineLevel="0" collapsed="false">
      <c r="B11" s="14" t="s">
        <v>39</v>
      </c>
      <c r="C11" s="15" t="n">
        <f aca="false">'Julio 2026'!K45</f>
        <v>1</v>
      </c>
      <c r="D11" s="16" t="n">
        <f aca="false">'Julio 2026'!K46</f>
        <v>0</v>
      </c>
      <c r="E11" s="16" t="n">
        <f aca="false">'Julio 2026'!K47</f>
        <v>0</v>
      </c>
      <c r="F11" s="16" t="n">
        <f aca="false">'Julio 2026'!K48</f>
        <v>850</v>
      </c>
      <c r="G11" s="16" t="n">
        <f aca="false">'Julio 2026'!K49</f>
        <v>850</v>
      </c>
    </row>
    <row r="12" customFormat="false" ht="15.75" hidden="false" customHeight="true" outlineLevel="0" collapsed="false">
      <c r="B12" s="17" t="s">
        <v>40</v>
      </c>
      <c r="C12" s="18" t="n">
        <f aca="false">'Agosto 2026'!K45</f>
        <v>1</v>
      </c>
      <c r="D12" s="19" t="n">
        <f aca="false">'Agosto 2026'!K46</f>
        <v>0</v>
      </c>
      <c r="E12" s="19" t="n">
        <f aca="false">'Agosto 2026'!K47</f>
        <v>0</v>
      </c>
      <c r="F12" s="19" t="n">
        <f aca="false">'Agosto 2026'!K48</f>
        <v>850</v>
      </c>
      <c r="G12" s="19" t="n">
        <f aca="false">'Agosto 2026'!K49</f>
        <v>850</v>
      </c>
    </row>
    <row r="13" customFormat="false" ht="15.75" hidden="false" customHeight="true" outlineLevel="0" collapsed="false">
      <c r="B13" s="14" t="s">
        <v>41</v>
      </c>
      <c r="C13" s="15" t="n">
        <f aca="false">'Septiembre 2026'!K45</f>
        <v>1</v>
      </c>
      <c r="D13" s="16" t="n">
        <f aca="false">'Septiembre 2026'!K46</f>
        <v>0</v>
      </c>
      <c r="E13" s="16" t="n">
        <f aca="false">'Septiembre 2026'!K47</f>
        <v>0</v>
      </c>
      <c r="F13" s="16" t="n">
        <f aca="false">'Septiembre 2026'!K48</f>
        <v>850</v>
      </c>
      <c r="G13" s="16" t="n">
        <f aca="false">'Septiembre 2026'!K49</f>
        <v>850</v>
      </c>
    </row>
    <row r="14" customFormat="false" ht="15.75" hidden="false" customHeight="true" outlineLevel="0" collapsed="false">
      <c r="B14" s="17" t="s">
        <v>42</v>
      </c>
      <c r="C14" s="18" t="n">
        <f aca="false">'Octubre 2026'!K45</f>
        <v>1</v>
      </c>
      <c r="D14" s="19" t="n">
        <f aca="false">'Octubre 2026'!K46</f>
        <v>0</v>
      </c>
      <c r="E14" s="19" t="n">
        <f aca="false">'Octubre 2026'!K47</f>
        <v>850</v>
      </c>
      <c r="F14" s="19" t="n">
        <f aca="false">'Octubre 2026'!K48</f>
        <v>0</v>
      </c>
      <c r="G14" s="19" t="n">
        <f aca="false">'Octubre 2026'!K49</f>
        <v>850</v>
      </c>
    </row>
    <row r="15" customFormat="false" ht="15.75" hidden="false" customHeight="true" outlineLevel="0" collapsed="false">
      <c r="B15" s="14" t="s">
        <v>43</v>
      </c>
      <c r="C15" s="15" t="n">
        <f aca="false">'Noviembre 2026'!K45</f>
        <v>1</v>
      </c>
      <c r="D15" s="16" t="n">
        <f aca="false">'Noviembre 2026'!K46</f>
        <v>0</v>
      </c>
      <c r="E15" s="16" t="n">
        <f aca="false">'Noviembre 2026'!K47</f>
        <v>850</v>
      </c>
      <c r="F15" s="16" t="n">
        <f aca="false">'Noviembre 2026'!K48</f>
        <v>0</v>
      </c>
      <c r="G15" s="16" t="n">
        <f aca="false">'Noviembre 2026'!K49</f>
        <v>850</v>
      </c>
    </row>
    <row r="16" customFormat="false" ht="15.75" hidden="false" customHeight="true" outlineLevel="0" collapsed="false">
      <c r="B16" s="17" t="s">
        <v>44</v>
      </c>
      <c r="C16" s="18" t="n">
        <f aca="false">'Diciembre 2026'!K45</f>
        <v>1</v>
      </c>
      <c r="D16" s="19" t="n">
        <f aca="false">'Diciembre 2026'!K46</f>
        <v>0</v>
      </c>
      <c r="E16" s="19" t="n">
        <f aca="false">'Diciembre 2026'!K47</f>
        <v>850</v>
      </c>
      <c r="F16" s="19" t="n">
        <f aca="false">'Diciembre 2026'!K48</f>
        <v>0</v>
      </c>
      <c r="G16" s="19" t="n">
        <f aca="false">'Diciembre 2026'!K49</f>
        <v>850</v>
      </c>
    </row>
    <row r="17" customFormat="false" ht="18" hidden="false" customHeight="true" outlineLevel="0" collapsed="false">
      <c r="B17" s="20" t="s">
        <v>45</v>
      </c>
      <c r="C17" s="21" t="n">
        <f aca="false">SUM(C5:C16)</f>
        <v>12</v>
      </c>
      <c r="D17" s="22" t="n">
        <f aca="false">SUM(D5:D16)</f>
        <v>0</v>
      </c>
      <c r="E17" s="22" t="n">
        <f aca="false">SUM(E5:E16)</f>
        <v>2550</v>
      </c>
      <c r="F17" s="22" t="n">
        <f aca="false">SUM(F5:F16)</f>
        <v>7650</v>
      </c>
      <c r="G17" s="22" t="n">
        <f aca="false">SUM(G5:G16)</f>
        <v>10200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46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9" t="n">
        <v>1</v>
      </c>
      <c r="E3" s="29" t="n">
        <v>2</v>
      </c>
      <c r="F3" s="30" t="n">
        <v>3</v>
      </c>
      <c r="G3" s="30" t="n">
        <v>4</v>
      </c>
      <c r="I3" s="31" t="n">
        <v>46023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5</v>
      </c>
      <c r="B4" s="29" t="n">
        <v>6</v>
      </c>
      <c r="C4" s="29" t="n">
        <v>7</v>
      </c>
      <c r="D4" s="29" t="n">
        <v>8</v>
      </c>
      <c r="E4" s="29" t="n">
        <v>9</v>
      </c>
      <c r="F4" s="30" t="n">
        <v>10</v>
      </c>
      <c r="G4" s="30" t="n">
        <v>11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12</v>
      </c>
      <c r="B5" s="29" t="n">
        <v>13</v>
      </c>
      <c r="C5" s="29" t="n">
        <v>14</v>
      </c>
      <c r="D5" s="29" t="n">
        <v>15</v>
      </c>
      <c r="E5" s="29" t="n">
        <v>16</v>
      </c>
      <c r="F5" s="30" t="n">
        <v>17</v>
      </c>
      <c r="G5" s="30" t="n">
        <v>18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19</v>
      </c>
      <c r="B6" s="29" t="n">
        <v>20</v>
      </c>
      <c r="C6" s="29" t="n">
        <v>21</v>
      </c>
      <c r="D6" s="29" t="n">
        <v>22</v>
      </c>
      <c r="E6" s="29" t="n">
        <v>23</v>
      </c>
      <c r="F6" s="30" t="n">
        <v>24</v>
      </c>
      <c r="G6" s="30" t="n">
        <v>25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26</v>
      </c>
      <c r="B7" s="29" t="n">
        <v>27</v>
      </c>
      <c r="C7" s="29" t="n">
        <v>28</v>
      </c>
      <c r="D7" s="29" t="n">
        <v>29</v>
      </c>
      <c r="E7" s="29" t="n">
        <v>30</v>
      </c>
      <c r="F7" s="30" t="n">
        <v>31</v>
      </c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AND(A3&lt;&gt;"",COUNTIFS($I$3:$I$42,DATE(2026,1,A3),$L$3:$L$42,"Pendiente")&gt;0,DATE(2026,1,A3)&lt;TODAY())</formula>
    </cfRule>
    <cfRule type="expression" priority="6" aboveAverage="0" equalAverage="0" bottom="0" percent="0" rank="0" text="" dxfId="4">
      <formula>AND(A3&lt;&gt;"",COUNTIFS($I$3:$I$42,DATE(2026,1,A3),$L$3:$L$42,"Pendiente")&gt;0,DATE(2026,1,A3)&gt;=TODAY())</formula>
    </cfRule>
    <cfRule type="expression" priority="7" aboveAverage="0" equalAverage="0" bottom="0" percent="0" rank="0" text="" dxfId="5">
      <formula>AND(A3&lt;&gt;"",COUNTIFS($I$3:$I$42,DATE(2026,1,A3))&gt;0,COUNTIFS($I$3:$I$42,DATE(2026,1,A3),$L$3:$L$42,"Pagado")=COUNTIFS($I$3:$I$42,DATE(2026,1,A3)))</formula>
    </cfRule>
  </conditionalFormatting>
  <dataValidations count="3"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Enero 2026." errorStyle="stop" errorTitle="Fecha fuera de mes" operator="between" showDropDown="false" showErrorMessage="false" showInputMessage="false" sqref="I3:I42" type="date">
      <formula1>2026-1-1</formula1>
      <formula2>2026-1-31</formula2>
    </dataValidation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66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8"/>
      <c r="E3" s="28"/>
      <c r="F3" s="28"/>
      <c r="G3" s="30" t="n">
        <v>1</v>
      </c>
      <c r="I3" s="31" t="n">
        <v>46054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2</v>
      </c>
      <c r="B4" s="29" t="n">
        <v>3</v>
      </c>
      <c r="C4" s="29" t="n">
        <v>4</v>
      </c>
      <c r="D4" s="29" t="n">
        <v>5</v>
      </c>
      <c r="E4" s="29" t="n">
        <v>6</v>
      </c>
      <c r="F4" s="30" t="n">
        <v>7</v>
      </c>
      <c r="G4" s="30" t="n">
        <v>8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9</v>
      </c>
      <c r="B5" s="29" t="n">
        <v>10</v>
      </c>
      <c r="C5" s="29" t="n">
        <v>11</v>
      </c>
      <c r="D5" s="29" t="n">
        <v>12</v>
      </c>
      <c r="E5" s="29" t="n">
        <v>13</v>
      </c>
      <c r="F5" s="30" t="n">
        <v>14</v>
      </c>
      <c r="G5" s="30" t="n">
        <v>15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16</v>
      </c>
      <c r="B6" s="29" t="n">
        <v>17</v>
      </c>
      <c r="C6" s="29" t="n">
        <v>18</v>
      </c>
      <c r="D6" s="29" t="n">
        <v>19</v>
      </c>
      <c r="E6" s="29" t="n">
        <v>20</v>
      </c>
      <c r="F6" s="30" t="n">
        <v>21</v>
      </c>
      <c r="G6" s="30" t="n">
        <v>22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23</v>
      </c>
      <c r="B7" s="29" t="n">
        <v>24</v>
      </c>
      <c r="C7" s="29" t="n">
        <v>25</v>
      </c>
      <c r="D7" s="29" t="n">
        <v>26</v>
      </c>
      <c r="E7" s="29" t="n">
        <v>27</v>
      </c>
      <c r="F7" s="30" t="n">
        <v>28</v>
      </c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AND(A3&lt;&gt;"",COUNTIFS($I$3:$I$42,DATE(2026,2,A3),$L$3:$L$42,"Pendiente")&gt;0,DATE(2026,2,A3)&lt;TODAY())</formula>
    </cfRule>
    <cfRule type="expression" priority="6" aboveAverage="0" equalAverage="0" bottom="0" percent="0" rank="0" text="" dxfId="4">
      <formula>AND(A3&lt;&gt;"",COUNTIFS($I$3:$I$42,DATE(2026,2,A3),$L$3:$L$42,"Pendiente")&gt;0,DATE(2026,2,A3)&gt;=TODAY())</formula>
    </cfRule>
    <cfRule type="expression" priority="7" aboveAverage="0" equalAverage="0" bottom="0" percent="0" rank="0" text="" dxfId="5">
      <formula>AND(A3&lt;&gt;"",COUNTIFS($I$3:$I$42,DATE(2026,2,A3))&gt;0,COUNTIFS($I$3:$I$42,DATE(2026,2,A3),$L$3:$L$42,"Pagado")=COUNTIFS($I$3:$I$42,DATE(2026,2,A3)))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Febrero 2026." errorStyle="stop" errorTitle="Fecha fuera de mes" operator="between" showDropDown="false" showErrorMessage="false" showInputMessage="false" sqref="I3:I42" type="date">
      <formula1>2026-2-1</formula1>
      <formula2>2026-2-28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67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8"/>
      <c r="E3" s="28"/>
      <c r="F3" s="28"/>
      <c r="G3" s="30" t="n">
        <v>1</v>
      </c>
      <c r="I3" s="31" t="n">
        <v>46082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2</v>
      </c>
      <c r="B4" s="29" t="n">
        <v>3</v>
      </c>
      <c r="C4" s="29" t="n">
        <v>4</v>
      </c>
      <c r="D4" s="29" t="n">
        <v>5</v>
      </c>
      <c r="E4" s="29" t="n">
        <v>6</v>
      </c>
      <c r="F4" s="30" t="n">
        <v>7</v>
      </c>
      <c r="G4" s="30" t="n">
        <v>8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9</v>
      </c>
      <c r="B5" s="29" t="n">
        <v>10</v>
      </c>
      <c r="C5" s="29" t="n">
        <v>11</v>
      </c>
      <c r="D5" s="29" t="n">
        <v>12</v>
      </c>
      <c r="E5" s="29" t="n">
        <v>13</v>
      </c>
      <c r="F5" s="30" t="n">
        <v>14</v>
      </c>
      <c r="G5" s="30" t="n">
        <v>15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16</v>
      </c>
      <c r="B6" s="29" t="n">
        <v>17</v>
      </c>
      <c r="C6" s="29" t="n">
        <v>18</v>
      </c>
      <c r="D6" s="29" t="n">
        <v>19</v>
      </c>
      <c r="E6" s="29" t="n">
        <v>20</v>
      </c>
      <c r="F6" s="30" t="n">
        <v>21</v>
      </c>
      <c r="G6" s="30" t="n">
        <v>22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23</v>
      </c>
      <c r="B7" s="29" t="n">
        <v>24</v>
      </c>
      <c r="C7" s="29" t="n">
        <v>25</v>
      </c>
      <c r="D7" s="29" t="n">
        <v>26</v>
      </c>
      <c r="E7" s="29" t="n">
        <v>27</v>
      </c>
      <c r="F7" s="30" t="n">
        <v>28</v>
      </c>
      <c r="G7" s="30" t="n">
        <v>29</v>
      </c>
      <c r="I7" s="35"/>
      <c r="J7" s="36"/>
      <c r="K7" s="37"/>
      <c r="L7" s="38"/>
    </row>
    <row r="8" customFormat="false" ht="15" hidden="false" customHeight="true" outlineLevel="0" collapsed="false">
      <c r="A8" s="29" t="n">
        <v>30</v>
      </c>
      <c r="B8" s="29" t="n">
        <v>31</v>
      </c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AND(A3&lt;&gt;"",COUNTIFS($I$3:$I$42,DATE(2026,3,A3),$L$3:$L$42,"Pendiente")&gt;0,DATE(2026,3,A3)&lt;TODAY())</formula>
    </cfRule>
    <cfRule type="expression" priority="6" aboveAverage="0" equalAverage="0" bottom="0" percent="0" rank="0" text="" dxfId="4">
      <formula>AND(A3&lt;&gt;"",COUNTIFS($I$3:$I$42,DATE(2026,3,A3),$L$3:$L$42,"Pendiente")&gt;0,DATE(2026,3,A3)&gt;=TODAY())</formula>
    </cfRule>
    <cfRule type="expression" priority="7" aboveAverage="0" equalAverage="0" bottom="0" percent="0" rank="0" text="" dxfId="5">
      <formula>AND(A3&lt;&gt;"",COUNTIFS($I$3:$I$42,DATE(2026,3,A3))&gt;0,COUNTIFS($I$3:$I$42,DATE(2026,3,A3),$L$3:$L$42,"Pagado")=COUNTIFS($I$3:$I$42,DATE(2026,3,A3)))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Marzo 2026." errorStyle="stop" errorTitle="Fecha fuera de mes" operator="between" showDropDown="false" showErrorMessage="false" showInputMessage="false" sqref="I3:I42" type="date">
      <formula1>2026-3-1</formula1>
      <formula2>2026-3-31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68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9" t="n">
        <v>1</v>
      </c>
      <c r="D3" s="29" t="n">
        <v>2</v>
      </c>
      <c r="E3" s="29" t="n">
        <v>3</v>
      </c>
      <c r="F3" s="30" t="n">
        <v>4</v>
      </c>
      <c r="G3" s="30" t="n">
        <v>5</v>
      </c>
      <c r="I3" s="31" t="n">
        <v>46113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6</v>
      </c>
      <c r="B4" s="29" t="n">
        <v>7</v>
      </c>
      <c r="C4" s="29" t="n">
        <v>8</v>
      </c>
      <c r="D4" s="29" t="n">
        <v>9</v>
      </c>
      <c r="E4" s="29" t="n">
        <v>10</v>
      </c>
      <c r="F4" s="30" t="n">
        <v>11</v>
      </c>
      <c r="G4" s="30" t="n">
        <v>12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13</v>
      </c>
      <c r="B5" s="29" t="n">
        <v>14</v>
      </c>
      <c r="C5" s="29" t="n">
        <v>15</v>
      </c>
      <c r="D5" s="29" t="n">
        <v>16</v>
      </c>
      <c r="E5" s="29" t="n">
        <v>17</v>
      </c>
      <c r="F5" s="30" t="n">
        <v>18</v>
      </c>
      <c r="G5" s="30" t="n">
        <v>19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20</v>
      </c>
      <c r="B6" s="29" t="n">
        <v>21</v>
      </c>
      <c r="C6" s="29" t="n">
        <v>22</v>
      </c>
      <c r="D6" s="29" t="n">
        <v>23</v>
      </c>
      <c r="E6" s="29" t="n">
        <v>24</v>
      </c>
      <c r="F6" s="30" t="n">
        <v>25</v>
      </c>
      <c r="G6" s="30" t="n">
        <v>26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27</v>
      </c>
      <c r="B7" s="29" t="n">
        <v>28</v>
      </c>
      <c r="C7" s="29" t="n">
        <v>29</v>
      </c>
      <c r="D7" s="29" t="n">
        <v>30</v>
      </c>
      <c r="E7" s="28"/>
      <c r="F7" s="28"/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AND(A3&lt;&gt;"",COUNTIFS($I$3:$I$42,DATE(2026,4,A3),$L$3:$L$42,"Pendiente")&gt;0,DATE(2026,4,A3)&lt;TODAY())</formula>
    </cfRule>
    <cfRule type="expression" priority="6" aboveAverage="0" equalAverage="0" bottom="0" percent="0" rank="0" text="" dxfId="4">
      <formula>AND(A3&lt;&gt;"",COUNTIFS($I$3:$I$42,DATE(2026,4,A3),$L$3:$L$42,"Pendiente")&gt;0,DATE(2026,4,A3)&gt;=TODAY())</formula>
    </cfRule>
    <cfRule type="expression" priority="7" aboveAverage="0" equalAverage="0" bottom="0" percent="0" rank="0" text="" dxfId="5">
      <formula>AND(A3&lt;&gt;"",COUNTIFS($I$3:$I$42,DATE(2026,4,A3))&gt;0,COUNTIFS($I$3:$I$42,DATE(2026,4,A3),$L$3:$L$42,"Pagado")=COUNTIFS($I$3:$I$42,DATE(2026,4,A3)))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Abril 2026." errorStyle="stop" errorTitle="Fecha fuera de mes" operator="between" showDropDown="false" showErrorMessage="false" showInputMessage="false" sqref="I3:I42" type="date">
      <formula1>2026-4-1</formula1>
      <formula2>2026-4-30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69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8"/>
      <c r="E3" s="29" t="n">
        <v>1</v>
      </c>
      <c r="F3" s="30" t="n">
        <v>2</v>
      </c>
      <c r="G3" s="30" t="n">
        <v>3</v>
      </c>
      <c r="I3" s="31" t="n">
        <v>46143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4</v>
      </c>
      <c r="B4" s="29" t="n">
        <v>5</v>
      </c>
      <c r="C4" s="29" t="n">
        <v>6</v>
      </c>
      <c r="D4" s="29" t="n">
        <v>7</v>
      </c>
      <c r="E4" s="29" t="n">
        <v>8</v>
      </c>
      <c r="F4" s="30" t="n">
        <v>9</v>
      </c>
      <c r="G4" s="30" t="n">
        <v>10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11</v>
      </c>
      <c r="B5" s="29" t="n">
        <v>12</v>
      </c>
      <c r="C5" s="29" t="n">
        <v>13</v>
      </c>
      <c r="D5" s="29" t="n">
        <v>14</v>
      </c>
      <c r="E5" s="29" t="n">
        <v>15</v>
      </c>
      <c r="F5" s="30" t="n">
        <v>16</v>
      </c>
      <c r="G5" s="30" t="n">
        <v>17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18</v>
      </c>
      <c r="B6" s="29" t="n">
        <v>19</v>
      </c>
      <c r="C6" s="29" t="n">
        <v>20</v>
      </c>
      <c r="D6" s="29" t="n">
        <v>21</v>
      </c>
      <c r="E6" s="29" t="n">
        <v>22</v>
      </c>
      <c r="F6" s="30" t="n">
        <v>23</v>
      </c>
      <c r="G6" s="30" t="n">
        <v>24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25</v>
      </c>
      <c r="B7" s="29" t="n">
        <v>26</v>
      </c>
      <c r="C7" s="29" t="n">
        <v>27</v>
      </c>
      <c r="D7" s="29" t="n">
        <v>28</v>
      </c>
      <c r="E7" s="29" t="n">
        <v>29</v>
      </c>
      <c r="F7" s="30" t="n">
        <v>30</v>
      </c>
      <c r="G7" s="30" t="n">
        <v>31</v>
      </c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AND(A3&lt;&gt;"",COUNTIFS($I$3:$I$42,DATE(2026,5,A3),$L$3:$L$42,"Pendiente")&gt;0,DATE(2026,5,A3)&lt;TODAY())</formula>
    </cfRule>
    <cfRule type="expression" priority="6" aboveAverage="0" equalAverage="0" bottom="0" percent="0" rank="0" text="" dxfId="4">
      <formula>AND(A3&lt;&gt;"",COUNTIFS($I$3:$I$42,DATE(2026,5,A3),$L$3:$L$42,"Pendiente")&gt;0,DATE(2026,5,A3)&gt;=TODAY())</formula>
    </cfRule>
    <cfRule type="expression" priority="7" aboveAverage="0" equalAverage="0" bottom="0" percent="0" rank="0" text="" dxfId="5">
      <formula>AND(A3&lt;&gt;"",COUNTIFS($I$3:$I$42,DATE(2026,5,A3))&gt;0,COUNTIFS($I$3:$I$42,DATE(2026,5,A3),$L$3:$L$42,"Pagado")=COUNTIFS($I$3:$I$42,DATE(2026,5,A3)))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Mayo 2026." errorStyle="stop" errorTitle="Fecha fuera de mes" operator="between" showDropDown="false" showErrorMessage="false" showInputMessage="false" sqref="I3:I42" type="date">
      <formula1>2026-5-1</formula1>
      <formula2>2026-5-31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70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9" t="n">
        <v>1</v>
      </c>
      <c r="B3" s="29" t="n">
        <v>2</v>
      </c>
      <c r="C3" s="29" t="n">
        <v>3</v>
      </c>
      <c r="D3" s="29" t="n">
        <v>4</v>
      </c>
      <c r="E3" s="29" t="n">
        <v>5</v>
      </c>
      <c r="F3" s="30" t="n">
        <v>6</v>
      </c>
      <c r="G3" s="30" t="n">
        <v>7</v>
      </c>
      <c r="I3" s="31" t="n">
        <v>46174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8</v>
      </c>
      <c r="B4" s="29" t="n">
        <v>9</v>
      </c>
      <c r="C4" s="29" t="n">
        <v>10</v>
      </c>
      <c r="D4" s="29" t="n">
        <v>11</v>
      </c>
      <c r="E4" s="29" t="n">
        <v>12</v>
      </c>
      <c r="F4" s="30" t="n">
        <v>13</v>
      </c>
      <c r="G4" s="30" t="n">
        <v>14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15</v>
      </c>
      <c r="B5" s="29" t="n">
        <v>16</v>
      </c>
      <c r="C5" s="29" t="n">
        <v>17</v>
      </c>
      <c r="D5" s="29" t="n">
        <v>18</v>
      </c>
      <c r="E5" s="29" t="n">
        <v>19</v>
      </c>
      <c r="F5" s="30" t="n">
        <v>20</v>
      </c>
      <c r="G5" s="30" t="n">
        <v>21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22</v>
      </c>
      <c r="B6" s="29" t="n">
        <v>23</v>
      </c>
      <c r="C6" s="29" t="n">
        <v>24</v>
      </c>
      <c r="D6" s="29" t="n">
        <v>25</v>
      </c>
      <c r="E6" s="29" t="n">
        <v>26</v>
      </c>
      <c r="F6" s="30" t="n">
        <v>27</v>
      </c>
      <c r="G6" s="30" t="n">
        <v>28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29</v>
      </c>
      <c r="B7" s="29" t="n">
        <v>30</v>
      </c>
      <c r="C7" s="28"/>
      <c r="D7" s="28"/>
      <c r="E7" s="28"/>
      <c r="F7" s="28"/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AND(A3&lt;&gt;"",COUNTIFS($I$3:$I$42,DATE(2026,6,A3),$L$3:$L$42,"Pendiente")&gt;0,DATE(2026,6,A3)&lt;TODAY())</formula>
    </cfRule>
    <cfRule type="expression" priority="6" aboveAverage="0" equalAverage="0" bottom="0" percent="0" rank="0" text="" dxfId="4">
      <formula>AND(A3&lt;&gt;"",COUNTIFS($I$3:$I$42,DATE(2026,6,A3),$L$3:$L$42,"Pendiente")&gt;0,DATE(2026,6,A3)&gt;=TODAY())</formula>
    </cfRule>
    <cfRule type="expression" priority="7" aboveAverage="0" equalAverage="0" bottom="0" percent="0" rank="0" text="" dxfId="5">
      <formula>AND(A3&lt;&gt;"",COUNTIFS($I$3:$I$42,DATE(2026,6,A3))&gt;0,COUNTIFS($I$3:$I$42,DATE(2026,6,A3),$L$3:$L$42,"Pagado")=COUNTIFS($I$3:$I$42,DATE(2026,6,A3)))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Junio 2026." errorStyle="stop" errorTitle="Fecha fuera de mes" operator="between" showDropDown="false" showErrorMessage="false" showInputMessage="false" sqref="I3:I42" type="date">
      <formula1>2026-6-1</formula1>
      <formula2>2026-6-30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71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9" t="n">
        <v>1</v>
      </c>
      <c r="D3" s="29" t="n">
        <v>2</v>
      </c>
      <c r="E3" s="29" t="n">
        <v>3</v>
      </c>
      <c r="F3" s="30" t="n">
        <v>4</v>
      </c>
      <c r="G3" s="30" t="n">
        <v>5</v>
      </c>
      <c r="I3" s="31" t="n">
        <v>46204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6</v>
      </c>
      <c r="B4" s="29" t="n">
        <v>7</v>
      </c>
      <c r="C4" s="29" t="n">
        <v>8</v>
      </c>
      <c r="D4" s="29" t="n">
        <v>9</v>
      </c>
      <c r="E4" s="29" t="n">
        <v>10</v>
      </c>
      <c r="F4" s="30" t="n">
        <v>11</v>
      </c>
      <c r="G4" s="30" t="n">
        <v>12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13</v>
      </c>
      <c r="B5" s="29" t="n">
        <v>14</v>
      </c>
      <c r="C5" s="29" t="n">
        <v>15</v>
      </c>
      <c r="D5" s="29" t="n">
        <v>16</v>
      </c>
      <c r="E5" s="29" t="n">
        <v>17</v>
      </c>
      <c r="F5" s="30" t="n">
        <v>18</v>
      </c>
      <c r="G5" s="30" t="n">
        <v>19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20</v>
      </c>
      <c r="B6" s="29" t="n">
        <v>21</v>
      </c>
      <c r="C6" s="29" t="n">
        <v>22</v>
      </c>
      <c r="D6" s="29" t="n">
        <v>23</v>
      </c>
      <c r="E6" s="29" t="n">
        <v>24</v>
      </c>
      <c r="F6" s="30" t="n">
        <v>25</v>
      </c>
      <c r="G6" s="30" t="n">
        <v>26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27</v>
      </c>
      <c r="B7" s="29" t="n">
        <v>28</v>
      </c>
      <c r="C7" s="29" t="n">
        <v>29</v>
      </c>
      <c r="D7" s="29" t="n">
        <v>30</v>
      </c>
      <c r="E7" s="29" t="n">
        <v>31</v>
      </c>
      <c r="F7" s="28"/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AND(A3&lt;&gt;"",COUNTIFS($I$3:$I$42,DATE(2026,7,A3),$L$3:$L$42,"Pendiente")&gt;0,DATE(2026,7,A3)&lt;TODAY())</formula>
    </cfRule>
    <cfRule type="expression" priority="6" aboveAverage="0" equalAverage="0" bottom="0" percent="0" rank="0" text="" dxfId="4">
      <formula>AND(A3&lt;&gt;"",COUNTIFS($I$3:$I$42,DATE(2026,7,A3),$L$3:$L$42,"Pendiente")&gt;0,DATE(2026,7,A3)&gt;=TODAY())</formula>
    </cfRule>
    <cfRule type="expression" priority="7" aboveAverage="0" equalAverage="0" bottom="0" percent="0" rank="0" text="" dxfId="5">
      <formula>AND(A3&lt;&gt;"",COUNTIFS($I$3:$I$42,DATE(2026,7,A3))&gt;0,COUNTIFS($I$3:$I$42,DATE(2026,7,A3),$L$3:$L$42,"Pagado")=COUNTIFS($I$3:$I$42,DATE(2026,7,A3)))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Julio 2026." errorStyle="stop" errorTitle="Fecha fuera de mes" operator="between" showDropDown="false" showErrorMessage="false" showInputMessage="false" sqref="I3:I42" type="date">
      <formula1>2026-7-1</formula1>
      <formula2>2026-7-31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72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8"/>
      <c r="E3" s="28"/>
      <c r="F3" s="30" t="n">
        <v>1</v>
      </c>
      <c r="G3" s="30" t="n">
        <v>2</v>
      </c>
      <c r="I3" s="31" t="n">
        <v>46235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3</v>
      </c>
      <c r="B4" s="29" t="n">
        <v>4</v>
      </c>
      <c r="C4" s="29" t="n">
        <v>5</v>
      </c>
      <c r="D4" s="29" t="n">
        <v>6</v>
      </c>
      <c r="E4" s="29" t="n">
        <v>7</v>
      </c>
      <c r="F4" s="30" t="n">
        <v>8</v>
      </c>
      <c r="G4" s="30" t="n">
        <v>9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10</v>
      </c>
      <c r="B5" s="29" t="n">
        <v>11</v>
      </c>
      <c r="C5" s="29" t="n">
        <v>12</v>
      </c>
      <c r="D5" s="29" t="n">
        <v>13</v>
      </c>
      <c r="E5" s="29" t="n">
        <v>14</v>
      </c>
      <c r="F5" s="30" t="n">
        <v>15</v>
      </c>
      <c r="G5" s="30" t="n">
        <v>16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17</v>
      </c>
      <c r="B6" s="29" t="n">
        <v>18</v>
      </c>
      <c r="C6" s="29" t="n">
        <v>19</v>
      </c>
      <c r="D6" s="29" t="n">
        <v>20</v>
      </c>
      <c r="E6" s="29" t="n">
        <v>21</v>
      </c>
      <c r="F6" s="30" t="n">
        <v>22</v>
      </c>
      <c r="G6" s="30" t="n">
        <v>23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24</v>
      </c>
      <c r="B7" s="29" t="n">
        <v>25</v>
      </c>
      <c r="C7" s="29" t="n">
        <v>26</v>
      </c>
      <c r="D7" s="29" t="n">
        <v>27</v>
      </c>
      <c r="E7" s="29" t="n">
        <v>28</v>
      </c>
      <c r="F7" s="30" t="n">
        <v>29</v>
      </c>
      <c r="G7" s="30" t="n">
        <v>30</v>
      </c>
      <c r="I7" s="35"/>
      <c r="J7" s="36"/>
      <c r="K7" s="37"/>
      <c r="L7" s="38"/>
    </row>
    <row r="8" customFormat="false" ht="15" hidden="false" customHeight="true" outlineLevel="0" collapsed="false">
      <c r="A8" s="29" t="n">
        <v>31</v>
      </c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AND(A3&lt;&gt;"",COUNTIFS($I$3:$I$42,DATE(2026,8,A3),$L$3:$L$42,"Pendiente")&gt;0,DATE(2026,8,A3)&lt;TODAY())</formula>
    </cfRule>
    <cfRule type="expression" priority="6" aboveAverage="0" equalAverage="0" bottom="0" percent="0" rank="0" text="" dxfId="4">
      <formula>AND(A3&lt;&gt;"",COUNTIFS($I$3:$I$42,DATE(2026,8,A3),$L$3:$L$42,"Pendiente")&gt;0,DATE(2026,8,A3)&gt;=TODAY())</formula>
    </cfRule>
    <cfRule type="expression" priority="7" aboveAverage="0" equalAverage="0" bottom="0" percent="0" rank="0" text="" dxfId="5">
      <formula>AND(A3&lt;&gt;"",COUNTIFS($I$3:$I$42,DATE(2026,8,A3))&gt;0,COUNTIFS($I$3:$I$42,DATE(2026,8,A3),$L$3:$L$42,"Pagado")=COUNTIFS($I$3:$I$42,DATE(2026,8,A3)))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Agosto 2026." errorStyle="stop" errorTitle="Fecha fuera de mes" operator="between" showDropDown="false" showErrorMessage="false" showInputMessage="false" sqref="I3:I42" type="date">
      <formula1>2026-8-1</formula1>
      <formula2>2026-8-31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73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9" t="n">
        <v>1</v>
      </c>
      <c r="C3" s="29" t="n">
        <v>2</v>
      </c>
      <c r="D3" s="29" t="n">
        <v>3</v>
      </c>
      <c r="E3" s="29" t="n">
        <v>4</v>
      </c>
      <c r="F3" s="30" t="n">
        <v>5</v>
      </c>
      <c r="G3" s="30" t="n">
        <v>6</v>
      </c>
      <c r="I3" s="31" t="n">
        <v>46266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7</v>
      </c>
      <c r="B4" s="29" t="n">
        <v>8</v>
      </c>
      <c r="C4" s="29" t="n">
        <v>9</v>
      </c>
      <c r="D4" s="29" t="n">
        <v>10</v>
      </c>
      <c r="E4" s="29" t="n">
        <v>11</v>
      </c>
      <c r="F4" s="30" t="n">
        <v>12</v>
      </c>
      <c r="G4" s="30" t="n">
        <v>13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14</v>
      </c>
      <c r="B5" s="29" t="n">
        <v>15</v>
      </c>
      <c r="C5" s="29" t="n">
        <v>16</v>
      </c>
      <c r="D5" s="29" t="n">
        <v>17</v>
      </c>
      <c r="E5" s="29" t="n">
        <v>18</v>
      </c>
      <c r="F5" s="30" t="n">
        <v>19</v>
      </c>
      <c r="G5" s="30" t="n">
        <v>20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21</v>
      </c>
      <c r="B6" s="29" t="n">
        <v>22</v>
      </c>
      <c r="C6" s="29" t="n">
        <v>23</v>
      </c>
      <c r="D6" s="29" t="n">
        <v>24</v>
      </c>
      <c r="E6" s="29" t="n">
        <v>25</v>
      </c>
      <c r="F6" s="30" t="n">
        <v>26</v>
      </c>
      <c r="G6" s="30" t="n">
        <v>27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28</v>
      </c>
      <c r="B7" s="29" t="n">
        <v>29</v>
      </c>
      <c r="C7" s="29" t="n">
        <v>30</v>
      </c>
      <c r="D7" s="28"/>
      <c r="E7" s="28"/>
      <c r="F7" s="28"/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850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AND(A3&lt;&gt;"",COUNTIFS($I$3:$I$42,DATE(2026,9,A3),$L$3:$L$42,"Pendiente")&gt;0,DATE(2026,9,A3)&lt;TODAY())</formula>
    </cfRule>
    <cfRule type="expression" priority="6" aboveAverage="0" equalAverage="0" bottom="0" percent="0" rank="0" text="" dxfId="4">
      <formula>AND(A3&lt;&gt;"",COUNTIFS($I$3:$I$42,DATE(2026,9,A3),$L$3:$L$42,"Pendiente")&gt;0,DATE(2026,9,A3)&gt;=TODAY())</formula>
    </cfRule>
    <cfRule type="expression" priority="7" aboveAverage="0" equalAverage="0" bottom="0" percent="0" rank="0" text="" dxfId="5">
      <formula>AND(A3&lt;&gt;"",COUNTIFS($I$3:$I$42,DATE(2026,9,A3))&gt;0,COUNTIFS($I$3:$I$42,DATE(2026,9,A3),$L$3:$L$42,"Pagado")=COUNTIFS($I$3:$I$42,DATE(2026,9,A3)))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Septiembre 2026." errorStyle="stop" errorTitle="Fecha fuera de mes" operator="between" showDropDown="false" showErrorMessage="false" showInputMessage="false" sqref="I3:I42" type="date">
      <formula1>2026-9-1</formula1>
      <formula2>2026-9-30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74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9" t="n">
        <v>1</v>
      </c>
      <c r="E3" s="29" t="n">
        <v>2</v>
      </c>
      <c r="F3" s="30" t="n">
        <v>3</v>
      </c>
      <c r="G3" s="30" t="n">
        <v>4</v>
      </c>
      <c r="I3" s="31" t="n">
        <v>46296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5</v>
      </c>
      <c r="B4" s="29" t="n">
        <v>6</v>
      </c>
      <c r="C4" s="29" t="n">
        <v>7</v>
      </c>
      <c r="D4" s="29" t="n">
        <v>8</v>
      </c>
      <c r="E4" s="29" t="n">
        <v>9</v>
      </c>
      <c r="F4" s="30" t="n">
        <v>10</v>
      </c>
      <c r="G4" s="30" t="n">
        <v>11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12</v>
      </c>
      <c r="B5" s="29" t="n">
        <v>13</v>
      </c>
      <c r="C5" s="29" t="n">
        <v>14</v>
      </c>
      <c r="D5" s="29" t="n">
        <v>15</v>
      </c>
      <c r="E5" s="29" t="n">
        <v>16</v>
      </c>
      <c r="F5" s="30" t="n">
        <v>17</v>
      </c>
      <c r="G5" s="30" t="n">
        <v>18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19</v>
      </c>
      <c r="B6" s="29" t="n">
        <v>20</v>
      </c>
      <c r="C6" s="29" t="n">
        <v>21</v>
      </c>
      <c r="D6" s="29" t="n">
        <v>22</v>
      </c>
      <c r="E6" s="29" t="n">
        <v>23</v>
      </c>
      <c r="F6" s="30" t="n">
        <v>24</v>
      </c>
      <c r="G6" s="30" t="n">
        <v>25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26</v>
      </c>
      <c r="B7" s="29" t="n">
        <v>27</v>
      </c>
      <c r="C7" s="29" t="n">
        <v>28</v>
      </c>
      <c r="D7" s="29" t="n">
        <v>29</v>
      </c>
      <c r="E7" s="29" t="n">
        <v>30</v>
      </c>
      <c r="F7" s="30" t="n">
        <v>31</v>
      </c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850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AND(A3&lt;&gt;"",COUNTIFS($I$3:$I$42,DATE(2026,10,A3),$L$3:$L$42,"Pendiente")&gt;0,DATE(2026,10,A3)&lt;TODAY())</formula>
    </cfRule>
    <cfRule type="expression" priority="6" aboveAverage="0" equalAverage="0" bottom="0" percent="0" rank="0" text="" dxfId="4">
      <formula>AND(A3&lt;&gt;"",COUNTIFS($I$3:$I$42,DATE(2026,10,A3),$L$3:$L$42,"Pendiente")&gt;0,DATE(2026,10,A3)&gt;=TODAY())</formula>
    </cfRule>
    <cfRule type="expression" priority="7" aboveAverage="0" equalAverage="0" bottom="0" percent="0" rank="0" text="" dxfId="5">
      <formula>AND(A3&lt;&gt;"",COUNTIFS($I$3:$I$42,DATE(2026,10,A3))&gt;0,COUNTIFS($I$3:$I$42,DATE(2026,10,A3),$L$3:$L$42,"Pagado")=COUNTIFS($I$3:$I$42,DATE(2026,10,A3)))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Octubre 2026." errorStyle="stop" errorTitle="Fecha fuera de mes" operator="between" showDropDown="false" showErrorMessage="false" showInputMessage="false" sqref="I3:I42" type="date">
      <formula1>2026-10-1</formula1>
      <formula2>2026-10-31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75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8"/>
      <c r="C3" s="28"/>
      <c r="D3" s="28"/>
      <c r="E3" s="28"/>
      <c r="F3" s="28"/>
      <c r="G3" s="30" t="n">
        <v>1</v>
      </c>
      <c r="I3" s="31" t="n">
        <v>46327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2</v>
      </c>
      <c r="B4" s="29" t="n">
        <v>3</v>
      </c>
      <c r="C4" s="29" t="n">
        <v>4</v>
      </c>
      <c r="D4" s="29" t="n">
        <v>5</v>
      </c>
      <c r="E4" s="29" t="n">
        <v>6</v>
      </c>
      <c r="F4" s="30" t="n">
        <v>7</v>
      </c>
      <c r="G4" s="30" t="n">
        <v>8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9</v>
      </c>
      <c r="B5" s="29" t="n">
        <v>10</v>
      </c>
      <c r="C5" s="29" t="n">
        <v>11</v>
      </c>
      <c r="D5" s="29" t="n">
        <v>12</v>
      </c>
      <c r="E5" s="29" t="n">
        <v>13</v>
      </c>
      <c r="F5" s="30" t="n">
        <v>14</v>
      </c>
      <c r="G5" s="30" t="n">
        <v>15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16</v>
      </c>
      <c r="B6" s="29" t="n">
        <v>17</v>
      </c>
      <c r="C6" s="29" t="n">
        <v>18</v>
      </c>
      <c r="D6" s="29" t="n">
        <v>19</v>
      </c>
      <c r="E6" s="29" t="n">
        <v>20</v>
      </c>
      <c r="F6" s="30" t="n">
        <v>21</v>
      </c>
      <c r="G6" s="30" t="n">
        <v>22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23</v>
      </c>
      <c r="B7" s="29" t="n">
        <v>24</v>
      </c>
      <c r="C7" s="29" t="n">
        <v>25</v>
      </c>
      <c r="D7" s="29" t="n">
        <v>26</v>
      </c>
      <c r="E7" s="29" t="n">
        <v>27</v>
      </c>
      <c r="F7" s="30" t="n">
        <v>28</v>
      </c>
      <c r="G7" s="30" t="n">
        <v>29</v>
      </c>
      <c r="I7" s="35"/>
      <c r="J7" s="36"/>
      <c r="K7" s="37"/>
      <c r="L7" s="38"/>
    </row>
    <row r="8" customFormat="false" ht="15" hidden="false" customHeight="true" outlineLevel="0" collapsed="false">
      <c r="A8" s="29" t="n">
        <v>30</v>
      </c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850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AND(A3&lt;&gt;"",COUNTIFS($I$3:$I$42,DATE(2026,11,A3),$L$3:$L$42,"Pendiente")&gt;0,DATE(2026,11,A3)&lt;TODAY())</formula>
    </cfRule>
    <cfRule type="expression" priority="6" aboveAverage="0" equalAverage="0" bottom="0" percent="0" rank="0" text="" dxfId="4">
      <formula>AND(A3&lt;&gt;"",COUNTIFS($I$3:$I$42,DATE(2026,11,A3),$L$3:$L$42,"Pendiente")&gt;0,DATE(2026,11,A3)&gt;=TODAY())</formula>
    </cfRule>
    <cfRule type="expression" priority="7" aboveAverage="0" equalAverage="0" bottom="0" percent="0" rank="0" text="" dxfId="5">
      <formula>AND(A3&lt;&gt;"",COUNTIFS($I$3:$I$42,DATE(2026,11,A3))&gt;0,COUNTIFS($I$3:$I$42,DATE(2026,11,A3),$L$3:$L$42,"Pagado")=COUNTIFS($I$3:$I$42,DATE(2026,11,A3)))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Noviembre 2026." errorStyle="stop" errorTitle="Fecha fuera de mes" operator="between" showDropDown="false" showErrorMessage="false" showInputMessage="false" sqref="I3:I42" type="date">
      <formula1>2026-11-1</formula1>
      <formula2>2026-11-30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23" t="s">
        <v>76</v>
      </c>
      <c r="B1" s="23"/>
      <c r="C1" s="23"/>
      <c r="D1" s="23"/>
      <c r="E1" s="23"/>
      <c r="F1" s="23"/>
      <c r="G1" s="23"/>
      <c r="I1" s="24" t="s">
        <v>47</v>
      </c>
      <c r="J1" s="24"/>
      <c r="K1" s="24"/>
      <c r="L1" s="24"/>
    </row>
    <row r="2" customFormat="false" ht="15.75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6" t="s">
        <v>53</v>
      </c>
      <c r="G2" s="26" t="s">
        <v>54</v>
      </c>
      <c r="I2" s="27" t="s">
        <v>55</v>
      </c>
      <c r="J2" s="27" t="s">
        <v>56</v>
      </c>
      <c r="K2" s="27" t="s">
        <v>57</v>
      </c>
      <c r="L2" s="27" t="s">
        <v>58</v>
      </c>
    </row>
    <row r="3" customFormat="false" ht="30" hidden="false" customHeight="true" outlineLevel="0" collapsed="false">
      <c r="A3" s="28"/>
      <c r="B3" s="29" t="n">
        <v>1</v>
      </c>
      <c r="C3" s="29" t="n">
        <v>2</v>
      </c>
      <c r="D3" s="29" t="n">
        <v>3</v>
      </c>
      <c r="E3" s="29" t="n">
        <v>4</v>
      </c>
      <c r="F3" s="30" t="n">
        <v>5</v>
      </c>
      <c r="G3" s="30" t="n">
        <v>6</v>
      </c>
      <c r="I3" s="31" t="n">
        <v>46357</v>
      </c>
      <c r="J3" s="32" t="s">
        <v>59</v>
      </c>
      <c r="K3" s="33" t="n">
        <v>850</v>
      </c>
      <c r="L3" s="34" t="s">
        <v>24</v>
      </c>
    </row>
    <row r="4" customFormat="false" ht="15" hidden="false" customHeight="true" outlineLevel="0" collapsed="false">
      <c r="A4" s="29" t="n">
        <v>7</v>
      </c>
      <c r="B4" s="29" t="n">
        <v>8</v>
      </c>
      <c r="C4" s="29" t="n">
        <v>9</v>
      </c>
      <c r="D4" s="29" t="n">
        <v>10</v>
      </c>
      <c r="E4" s="29" t="n">
        <v>11</v>
      </c>
      <c r="F4" s="30" t="n">
        <v>12</v>
      </c>
      <c r="G4" s="30" t="n">
        <v>13</v>
      </c>
      <c r="I4" s="35"/>
      <c r="J4" s="36"/>
      <c r="K4" s="37"/>
      <c r="L4" s="38"/>
    </row>
    <row r="5" customFormat="false" ht="15" hidden="false" customHeight="true" outlineLevel="0" collapsed="false">
      <c r="A5" s="29" t="n">
        <v>14</v>
      </c>
      <c r="B5" s="29" t="n">
        <v>15</v>
      </c>
      <c r="C5" s="29" t="n">
        <v>16</v>
      </c>
      <c r="D5" s="29" t="n">
        <v>17</v>
      </c>
      <c r="E5" s="29" t="n">
        <v>18</v>
      </c>
      <c r="F5" s="30" t="n">
        <v>19</v>
      </c>
      <c r="G5" s="30" t="n">
        <v>20</v>
      </c>
      <c r="I5" s="35"/>
      <c r="J5" s="36"/>
      <c r="K5" s="37"/>
      <c r="L5" s="38"/>
    </row>
    <row r="6" customFormat="false" ht="15" hidden="false" customHeight="true" outlineLevel="0" collapsed="false">
      <c r="A6" s="29" t="n">
        <v>21</v>
      </c>
      <c r="B6" s="29" t="n">
        <v>22</v>
      </c>
      <c r="C6" s="29" t="n">
        <v>23</v>
      </c>
      <c r="D6" s="29" t="n">
        <v>24</v>
      </c>
      <c r="E6" s="29" t="n">
        <v>25</v>
      </c>
      <c r="F6" s="30" t="n">
        <v>26</v>
      </c>
      <c r="G6" s="30" t="n">
        <v>27</v>
      </c>
      <c r="I6" s="35"/>
      <c r="J6" s="36"/>
      <c r="K6" s="37"/>
      <c r="L6" s="38"/>
    </row>
    <row r="7" customFormat="false" ht="15" hidden="false" customHeight="true" outlineLevel="0" collapsed="false">
      <c r="A7" s="29" t="n">
        <v>28</v>
      </c>
      <c r="B7" s="29" t="n">
        <v>29</v>
      </c>
      <c r="C7" s="29" t="n">
        <v>30</v>
      </c>
      <c r="D7" s="29" t="n">
        <v>31</v>
      </c>
      <c r="E7" s="28"/>
      <c r="F7" s="28"/>
      <c r="G7" s="28"/>
      <c r="I7" s="35"/>
      <c r="J7" s="36"/>
      <c r="K7" s="37"/>
      <c r="L7" s="3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I8" s="35"/>
      <c r="J8" s="36"/>
      <c r="K8" s="37"/>
      <c r="L8" s="38"/>
    </row>
    <row r="9" customFormat="false" ht="15" hidden="false" customHeight="true" outlineLevel="0" collapsed="false">
      <c r="I9" s="35"/>
      <c r="J9" s="36"/>
      <c r="K9" s="37"/>
      <c r="L9" s="38"/>
    </row>
    <row r="10" customFormat="false" ht="15" hidden="false" customHeight="true" outlineLevel="0" collapsed="false">
      <c r="A10" s="39" t="s">
        <v>60</v>
      </c>
      <c r="B10" s="39"/>
      <c r="C10" s="39"/>
      <c r="D10" s="39"/>
      <c r="E10" s="39"/>
      <c r="F10" s="39"/>
      <c r="G10" s="39"/>
      <c r="I10" s="35"/>
      <c r="J10" s="36"/>
      <c r="K10" s="37"/>
      <c r="L10" s="38"/>
    </row>
    <row r="11" customFormat="false" ht="15" hidden="false" customHeight="true" outlineLevel="0" collapsed="false">
      <c r="A11" s="6"/>
      <c r="B11" s="40" t="s">
        <v>23</v>
      </c>
      <c r="C11" s="40"/>
      <c r="D11" s="8"/>
      <c r="E11" s="40" t="s">
        <v>24</v>
      </c>
      <c r="F11" s="40"/>
      <c r="G11" s="10"/>
      <c r="H11" s="41" t="s">
        <v>25</v>
      </c>
      <c r="I11" s="41"/>
      <c r="J11" s="36"/>
      <c r="K11" s="37"/>
      <c r="L11" s="38"/>
    </row>
    <row r="12" customFormat="false" ht="15" hidden="false" customHeight="true" outlineLevel="0" collapsed="false">
      <c r="I12" s="35"/>
      <c r="J12" s="36"/>
      <c r="K12" s="37"/>
      <c r="L12" s="38"/>
    </row>
    <row r="13" customFormat="false" ht="15" hidden="false" customHeight="true" outlineLevel="0" collapsed="false">
      <c r="I13" s="35"/>
      <c r="J13" s="36"/>
      <c r="K13" s="37"/>
      <c r="L13" s="38"/>
    </row>
    <row r="14" customFormat="false" ht="15" hidden="false" customHeight="true" outlineLevel="0" collapsed="false">
      <c r="I14" s="35"/>
      <c r="J14" s="36"/>
      <c r="K14" s="37"/>
      <c r="L14" s="38"/>
    </row>
    <row r="15" customFormat="false" ht="15" hidden="false" customHeight="true" outlineLevel="0" collapsed="false">
      <c r="I15" s="35"/>
      <c r="J15" s="36"/>
      <c r="K15" s="37"/>
      <c r="L15" s="38"/>
    </row>
    <row r="16" customFormat="false" ht="15" hidden="false" customHeight="true" outlineLevel="0" collapsed="false">
      <c r="I16" s="35"/>
      <c r="J16" s="36"/>
      <c r="K16" s="37"/>
      <c r="L16" s="38"/>
    </row>
    <row r="17" customFormat="false" ht="15" hidden="false" customHeight="true" outlineLevel="0" collapsed="false">
      <c r="I17" s="35"/>
      <c r="J17" s="36"/>
      <c r="K17" s="37"/>
      <c r="L17" s="38"/>
    </row>
    <row r="18" customFormat="false" ht="15" hidden="false" customHeight="true" outlineLevel="0" collapsed="false">
      <c r="I18" s="35"/>
      <c r="J18" s="36"/>
      <c r="K18" s="37"/>
      <c r="L18" s="38"/>
    </row>
    <row r="19" customFormat="false" ht="15" hidden="false" customHeight="true" outlineLevel="0" collapsed="false">
      <c r="I19" s="35"/>
      <c r="J19" s="36"/>
      <c r="K19" s="37"/>
      <c r="L19" s="38"/>
    </row>
    <row r="20" customFormat="false" ht="15" hidden="false" customHeight="true" outlineLevel="0" collapsed="false">
      <c r="I20" s="35"/>
      <c r="J20" s="36"/>
      <c r="K20" s="37"/>
      <c r="L20" s="38"/>
    </row>
    <row r="21" customFormat="false" ht="15" hidden="false" customHeight="true" outlineLevel="0" collapsed="false">
      <c r="I21" s="35"/>
      <c r="J21" s="36"/>
      <c r="K21" s="37"/>
      <c r="L21" s="38"/>
    </row>
    <row r="22" customFormat="false" ht="15" hidden="false" customHeight="true" outlineLevel="0" collapsed="false">
      <c r="I22" s="35"/>
      <c r="J22" s="36"/>
      <c r="K22" s="37"/>
      <c r="L22" s="38"/>
    </row>
    <row r="23" customFormat="false" ht="15" hidden="false" customHeight="true" outlineLevel="0" collapsed="false">
      <c r="I23" s="35"/>
      <c r="J23" s="36"/>
      <c r="K23" s="37"/>
      <c r="L23" s="38"/>
    </row>
    <row r="24" customFormat="false" ht="15" hidden="false" customHeight="true" outlineLevel="0" collapsed="false">
      <c r="I24" s="35"/>
      <c r="J24" s="36"/>
      <c r="K24" s="37"/>
      <c r="L24" s="38"/>
    </row>
    <row r="25" customFormat="false" ht="15" hidden="false" customHeight="true" outlineLevel="0" collapsed="false">
      <c r="I25" s="35"/>
      <c r="J25" s="36"/>
      <c r="K25" s="37"/>
      <c r="L25" s="38"/>
    </row>
    <row r="26" customFormat="false" ht="15" hidden="false" customHeight="true" outlineLevel="0" collapsed="false">
      <c r="I26" s="35"/>
      <c r="J26" s="36"/>
      <c r="K26" s="37"/>
      <c r="L26" s="38"/>
    </row>
    <row r="27" customFormat="false" ht="15" hidden="false" customHeight="true" outlineLevel="0" collapsed="false">
      <c r="I27" s="35"/>
      <c r="J27" s="36"/>
      <c r="K27" s="37"/>
      <c r="L27" s="38"/>
    </row>
    <row r="28" customFormat="false" ht="15" hidden="false" customHeight="true" outlineLevel="0" collapsed="false">
      <c r="I28" s="35"/>
      <c r="J28" s="36"/>
      <c r="K28" s="37"/>
      <c r="L28" s="38"/>
    </row>
    <row r="29" customFormat="false" ht="15" hidden="false" customHeight="true" outlineLevel="0" collapsed="false">
      <c r="I29" s="35"/>
      <c r="J29" s="36"/>
      <c r="K29" s="37"/>
      <c r="L29" s="38"/>
    </row>
    <row r="30" customFormat="false" ht="15" hidden="false" customHeight="true" outlineLevel="0" collapsed="false">
      <c r="I30" s="35"/>
      <c r="J30" s="36"/>
      <c r="K30" s="37"/>
      <c r="L30" s="38"/>
    </row>
    <row r="31" customFormat="false" ht="15" hidden="false" customHeight="true" outlineLevel="0" collapsed="false">
      <c r="I31" s="35"/>
      <c r="J31" s="36"/>
      <c r="K31" s="37"/>
      <c r="L31" s="38"/>
    </row>
    <row r="32" customFormat="false" ht="15" hidden="false" customHeight="true" outlineLevel="0" collapsed="false">
      <c r="I32" s="35"/>
      <c r="J32" s="36"/>
      <c r="K32" s="37"/>
      <c r="L32" s="38"/>
    </row>
    <row r="33" customFormat="false" ht="15" hidden="false" customHeight="true" outlineLevel="0" collapsed="false">
      <c r="I33" s="35"/>
      <c r="J33" s="36"/>
      <c r="K33" s="37"/>
      <c r="L33" s="38"/>
    </row>
    <row r="34" customFormat="false" ht="15" hidden="false" customHeight="true" outlineLevel="0" collapsed="false">
      <c r="I34" s="35"/>
      <c r="J34" s="36"/>
      <c r="K34" s="37"/>
      <c r="L34" s="38"/>
    </row>
    <row r="35" customFormat="false" ht="15" hidden="false" customHeight="true" outlineLevel="0" collapsed="false">
      <c r="I35" s="35"/>
      <c r="J35" s="36"/>
      <c r="K35" s="37"/>
      <c r="L35" s="38"/>
    </row>
    <row r="36" customFormat="false" ht="15" hidden="false" customHeight="true" outlineLevel="0" collapsed="false">
      <c r="I36" s="35"/>
      <c r="J36" s="36"/>
      <c r="K36" s="37"/>
      <c r="L36" s="38"/>
    </row>
    <row r="37" customFormat="false" ht="15" hidden="false" customHeight="true" outlineLevel="0" collapsed="false">
      <c r="I37" s="35"/>
      <c r="J37" s="36"/>
      <c r="K37" s="37"/>
      <c r="L37" s="38"/>
    </row>
    <row r="38" customFormat="false" ht="15" hidden="false" customHeight="true" outlineLevel="0" collapsed="false">
      <c r="I38" s="35"/>
      <c r="J38" s="36"/>
      <c r="K38" s="37"/>
      <c r="L38" s="38"/>
    </row>
    <row r="39" customFormat="false" ht="15" hidden="false" customHeight="true" outlineLevel="0" collapsed="false">
      <c r="I39" s="35"/>
      <c r="J39" s="36"/>
      <c r="K39" s="37"/>
      <c r="L39" s="38"/>
    </row>
    <row r="40" customFormat="false" ht="15" hidden="false" customHeight="true" outlineLevel="0" collapsed="false">
      <c r="I40" s="35"/>
      <c r="J40" s="36"/>
      <c r="K40" s="37"/>
      <c r="L40" s="38"/>
    </row>
    <row r="41" customFormat="false" ht="15" hidden="false" customHeight="true" outlineLevel="0" collapsed="false">
      <c r="I41" s="35"/>
      <c r="J41" s="36"/>
      <c r="K41" s="37"/>
      <c r="L41" s="38"/>
    </row>
    <row r="42" customFormat="false" ht="15" hidden="false" customHeight="true" outlineLevel="0" collapsed="false">
      <c r="I42" s="35"/>
      <c r="J42" s="36"/>
      <c r="K42" s="37"/>
      <c r="L42" s="38"/>
    </row>
    <row r="44" customFormat="false" ht="15" hidden="false" customHeight="true" outlineLevel="0" collapsed="false">
      <c r="I44" s="42" t="s">
        <v>61</v>
      </c>
      <c r="J44" s="42"/>
      <c r="K44" s="43"/>
      <c r="L44" s="44"/>
    </row>
    <row r="45" customFormat="false" ht="15" hidden="false" customHeight="true" outlineLevel="0" collapsed="false">
      <c r="I45" s="45" t="s">
        <v>28</v>
      </c>
      <c r="J45" s="45"/>
      <c r="K45" s="46" t="n">
        <f aca="false">COUNT($I$3:$I$42)</f>
        <v>1</v>
      </c>
      <c r="L45" s="47"/>
    </row>
    <row r="46" customFormat="false" ht="15" hidden="false" customHeight="true" outlineLevel="0" collapsed="false">
      <c r="I46" s="45" t="s">
        <v>62</v>
      </c>
      <c r="J46" s="45"/>
      <c r="K46" s="48" t="n">
        <f aca="false">SUMIFS($K$3:$K$42,$L$3:$L$42,"Pagado")</f>
        <v>0</v>
      </c>
      <c r="L46" s="47"/>
    </row>
    <row r="47" customFormat="false" ht="15" hidden="false" customHeight="true" outlineLevel="0" collapsed="false">
      <c r="I47" s="45" t="s">
        <v>63</v>
      </c>
      <c r="J47" s="45"/>
      <c r="K47" s="48" t="n">
        <f aca="true">SUMPRODUCT(($L$3:$L$42="Pendiente")*($I$3:$I$42&gt;=TODAY())*($I$3:$I$42&lt;&gt;"")*$K$3:$K$42)</f>
        <v>850</v>
      </c>
      <c r="L47" s="47"/>
    </row>
    <row r="48" customFormat="false" ht="15" hidden="false" customHeight="true" outlineLevel="0" collapsed="false">
      <c r="I48" s="45" t="s">
        <v>64</v>
      </c>
      <c r="J48" s="45"/>
      <c r="K48" s="48" t="n">
        <f aca="true">SUMPRODUCT(($L$3:$L$42="Pendiente")*($I$3:$I$42&lt;TODAY())*($I$3:$I$42&lt;&gt;"")*$K$3:$K$42)</f>
        <v>0</v>
      </c>
      <c r="L48" s="47"/>
    </row>
    <row r="49" customFormat="false" ht="15" hidden="false" customHeight="true" outlineLevel="0" collapsed="false">
      <c r="I49" s="42" t="s">
        <v>65</v>
      </c>
      <c r="J49" s="42"/>
      <c r="K49" s="49" t="n">
        <f aca="false">SUM($K$3:$K$42)</f>
        <v>850</v>
      </c>
      <c r="L49" s="44"/>
    </row>
  </sheetData>
  <mergeCells count="12">
    <mergeCell ref="A1:G1"/>
    <mergeCell ref="I1:L1"/>
    <mergeCell ref="A10:G10"/>
    <mergeCell ref="B11:C11"/>
    <mergeCell ref="E11:F11"/>
    <mergeCell ref="H11:I11"/>
    <mergeCell ref="I44:J44"/>
    <mergeCell ref="I45:J45"/>
    <mergeCell ref="I46:J46"/>
    <mergeCell ref="I47:J47"/>
    <mergeCell ref="I48:J48"/>
    <mergeCell ref="I49:J49"/>
  </mergeCells>
  <conditionalFormatting sqref="I3:L42">
    <cfRule type="expression" priority="2" aboveAverage="0" equalAverage="0" bottom="0" percent="0" rank="0" text="" dxfId="0">
      <formula>AND($I3&lt;&gt;"",$L3="Pendiente",$I3&lt;TODAY())</formula>
    </cfRule>
    <cfRule type="expression" priority="3" aboveAverage="0" equalAverage="0" bottom="0" percent="0" rank="0" text="" dxfId="1">
      <formula>AND($I3&lt;&gt;"",$L3="Pendiente",$I3&gt;=TODAY())</formula>
    </cfRule>
    <cfRule type="expression" priority="4" aboveAverage="0" equalAverage="0" bottom="0" percent="0" rank="0" text="" dxfId="2">
      <formula>AND($I3&lt;&gt;"",$L3="Pagado")</formula>
    </cfRule>
  </conditionalFormatting>
  <conditionalFormatting sqref="A3:G8">
    <cfRule type="expression" priority="5" aboveAverage="0" equalAverage="0" bottom="0" percent="0" rank="0" text="" dxfId="3">
      <formula>AND(A3&lt;&gt;"",COUNTIFS($I$3:$I$42,DATE(2026,12,A3),$L$3:$L$42,"Pendiente")&gt;0,DATE(2026,12,A3)&lt;TODAY())</formula>
    </cfRule>
    <cfRule type="expression" priority="6" aboveAverage="0" equalAverage="0" bottom="0" percent="0" rank="0" text="" dxfId="4">
      <formula>AND(A3&lt;&gt;"",COUNTIFS($I$3:$I$42,DATE(2026,12,A3),$L$3:$L$42,"Pendiente")&gt;0,DATE(2026,12,A3)&gt;=TODAY())</formula>
    </cfRule>
    <cfRule type="expression" priority="7" aboveAverage="0" equalAverage="0" bottom="0" percent="0" rank="0" text="" dxfId="5">
      <formula>AND(A3&lt;&gt;"",COUNTIFS($I$3:$I$42,DATE(2026,12,A3))&gt;0,COUNTIFS($I$3:$I$42,DATE(2026,12,A3),$L$3:$L$42,"Pagado")=COUNTIFS($I$3:$I$42,DATE(2026,12,A3)))</formula>
    </cfRule>
  </conditionalFormatting>
  <dataValidations count="3">
    <dataValidation allowBlank="true" error="Introduce un importe numérico (0 o mayor)." errorStyle="stop" errorTitle="Importe no válido" operator="greaterThanOrEqual" showDropDown="false" showErrorMessage="false" showInputMessage="false" sqref="K3:K42" type="decimal">
      <formula1>0</formula1>
      <formula2>0</formula2>
    </dataValidation>
    <dataValidation allowBlank="true" error="Selecciona “Pendiente” o “Pagado” de la lista." errorStyle="stop" errorTitle="Valor no válido" operator="between" showDropDown="false" showErrorMessage="false" showInputMessage="false" sqref="L3:L42" type="list">
      <formula1>"Pendiente,Pagado"</formula1>
      <formula2>0</formula2>
    </dataValidation>
    <dataValidation allowBlank="true" error="La fecha debe estar dentro de Diciembre 2026." errorStyle="stop" errorTitle="Fecha fuera de mes" operator="between" showDropDown="false" showErrorMessage="false" showInputMessage="false" sqref="I3:I42" type="date">
      <formula1>2026-12-1</formula1>
      <formula2>2026-12-31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2026-09-02T08:57:18Z</dcterms:created>
  <dc:creator>openpyxl</dc:creator>
  <dc:description/>
  <dc:language>en-US</dc:language>
  <cp:lastModifiedBy/>
  <dcterms:modified xsi:type="dcterms:W3CDTF">2026-09-02T08:57:26Z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